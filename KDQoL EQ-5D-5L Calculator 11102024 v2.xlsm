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uol.le.ac.uk\root\staff\home\h\hmw33\Desktop Files\"/>
    </mc:Choice>
  </mc:AlternateContent>
  <xr:revisionPtr revIDLastSave="0" documentId="13_ncr:1_{8848609A-869A-4D42-99A9-B399380181F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KDQoL" sheetId="2" r:id="rId1"/>
  </sheets>
  <functionGroups builtInGroupCount="19"/>
  <definedNames>
    <definedName name="ageby10">KDQoL!$E$14</definedName>
    <definedName name="burden_10">KDQoL!$E$11</definedName>
    <definedName name="E1v">#REF!</definedName>
    <definedName name="E1v_2">KDQoL!$B$23</definedName>
    <definedName name="E2v">#REF!</definedName>
    <definedName name="E2v_2">KDQoL!$B$24</definedName>
    <definedName name="E3v">#REF!</definedName>
    <definedName name="E3v_2">KDQoL!$B$25</definedName>
    <definedName name="effects_10">KDQoL!$E$13</definedName>
    <definedName name="female">KDQoL!$E$15</definedName>
    <definedName name="fev">#REF!</definedName>
    <definedName name="kdqoltotal50">KDQoL!$E$16</definedName>
    <definedName name="mcs_10">KDQoL!$E$10</definedName>
    <definedName name="pcs_10">KDQoL!$E$9</definedName>
    <definedName name="ProbC1">#REF!</definedName>
    <definedName name="ProbC1_2">KDQoL!$E$23</definedName>
    <definedName name="ProbC2">#REF!</definedName>
    <definedName name="ProbC2_2">KDQoL!$E$24</definedName>
    <definedName name="ProbC3">#REF!</definedName>
    <definedName name="ProbC3_2">KDQoL!$E$25</definedName>
    <definedName name="symptom_10">KDQoL!$E$12</definedName>
    <definedName name="util">#REF!</definedName>
    <definedName name="util2">KDQoL!$H$25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5" i="2"/>
  <c r="E10" i="2"/>
  <c r="E11" i="2"/>
  <c r="E12" i="2"/>
  <c r="E13" i="2"/>
  <c r="E14" i="2"/>
  <c r="E9" i="2"/>
  <c r="H24" i="2"/>
</calcChain>
</file>

<file path=xl/sharedStrings.xml><?xml version="1.0" encoding="utf-8"?>
<sst xmlns="http://schemas.openxmlformats.org/spreadsheetml/2006/main" count="40" uniqueCount="34">
  <si>
    <t>User inputs</t>
  </si>
  <si>
    <t>Used in model</t>
  </si>
  <si>
    <t>Age</t>
  </si>
  <si>
    <t>Outputs</t>
  </si>
  <si>
    <t>Component Expected EQ-5D</t>
  </si>
  <si>
    <t>Component probabilities</t>
  </si>
  <si>
    <t>Overall expected EQ-5D</t>
  </si>
  <si>
    <t>INPUTS</t>
  </si>
  <si>
    <t>OUTPUTS</t>
  </si>
  <si>
    <t>Please cite our paper if you use the calculator!</t>
  </si>
  <si>
    <t xml:space="preserve">Details of internal validation done for this file </t>
  </si>
  <si>
    <t>EXCEL</t>
  </si>
  <si>
    <t>Age/10</t>
  </si>
  <si>
    <t>Developed in Microsoft Excel 2016.</t>
  </si>
  <si>
    <t>female</t>
  </si>
  <si>
    <t>STATA</t>
  </si>
  <si>
    <t xml:space="preserve">PCS </t>
  </si>
  <si>
    <t xml:space="preserve">MCS </t>
  </si>
  <si>
    <t xml:space="preserve">Burden </t>
  </si>
  <si>
    <t>Symptom</t>
  </si>
  <si>
    <t>Effects</t>
  </si>
  <si>
    <t>PCS</t>
  </si>
  <si>
    <t>PCS/10</t>
  </si>
  <si>
    <t xml:space="preserve">MCS/10 </t>
  </si>
  <si>
    <t xml:space="preserve">Burden/10 </t>
  </si>
  <si>
    <t xml:space="preserve">Symptom/10 </t>
  </si>
  <si>
    <t xml:space="preserve">Effects/10 </t>
  </si>
  <si>
    <t xml:space="preserve">EQ-5D (5L cross walk US tariff) calculator from KDQoL-36 </t>
  </si>
  <si>
    <t>This calculator is based on results reported in TO BE PUBLISHED: QUALITY OF LIFE RESEARCH</t>
  </si>
  <si>
    <t>MCS</t>
  </si>
  <si>
    <t>Burden</t>
  </si>
  <si>
    <t>kdqoltotal50</t>
  </si>
  <si>
    <t>KDQoL total</t>
  </si>
  <si>
    <t>Checked against Stata output: using \KDQoL\excel calculator\stata\Predictions checks for excel.do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</si>
</sst>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2" tint="-0.249977111117893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C00"/>
        <bgColor indexed="64"/>
      </patternFill>
    </fill>
  </fills>
  <borders count="25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0" xfId="0" applyFill="1"/>
    <xf numFmtId="0" fontId="0" fillId="3" borderId="9" xfId="0" applyFill="1" applyBorder="1"/>
    <xf numFmtId="0" fontId="4" fillId="0" borderId="0" xfId="0" applyFont="1"/>
    <xf numFmtId="0" fontId="5" fillId="6" borderId="9" xfId="0" applyFont="1" applyFill="1" applyBorder="1"/>
    <xf numFmtId="0" fontId="1" fillId="7" borderId="0" xfId="0" applyFont="1" applyFill="1"/>
    <xf numFmtId="0" fontId="6" fillId="4" borderId="0" xfId="0" applyFont="1" applyFill="1"/>
    <xf numFmtId="0" fontId="7" fillId="0" borderId="0" xfId="0" applyFont="1"/>
    <xf numFmtId="0" fontId="8" fillId="3" borderId="0" xfId="0" applyFont="1" applyFill="1"/>
    <xf numFmtId="0" fontId="0" fillId="3" borderId="10" xfId="0" applyFill="1" applyBorder="1"/>
    <xf numFmtId="0" fontId="0" fillId="3" borderId="0" xfId="0" applyFill="1"/>
    <xf numFmtId="0" fontId="1" fillId="7" borderId="11" xfId="0" applyFont="1" applyFill="1" applyBorder="1"/>
    <xf numFmtId="0" fontId="0" fillId="7" borderId="11" xfId="0" applyFill="1" applyBorder="1"/>
    <xf numFmtId="0" fontId="2" fillId="5" borderId="11" xfId="0" applyFont="1" applyFill="1" applyBorder="1"/>
    <xf numFmtId="0" fontId="1" fillId="5" borderId="11" xfId="0" applyFont="1" applyFill="1" applyBorder="1"/>
    <xf numFmtId="0" fontId="0" fillId="5" borderId="11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12" xfId="0" applyFill="1" applyBorder="1"/>
    <xf numFmtId="0" fontId="0" fillId="3" borderId="13" xfId="0" applyFill="1" applyBorder="1"/>
    <xf numFmtId="0" fontId="0" fillId="3" borderId="5" xfId="0" applyFill="1" applyBorder="1"/>
    <xf numFmtId="0" fontId="0" fillId="7" borderId="12" xfId="0" applyFill="1" applyBorder="1"/>
    <xf numFmtId="164" fontId="9" fillId="2" borderId="14" xfId="0" applyNumberFormat="1" applyFont="1" applyFill="1" applyBorder="1"/>
    <xf numFmtId="0" fontId="0" fillId="0" borderId="2" xfId="0" applyBorder="1"/>
    <xf numFmtId="0" fontId="0" fillId="0" borderId="20" xfId="0" applyBorder="1"/>
    <xf numFmtId="0" fontId="0" fillId="0" borderId="21" xfId="0" applyBorder="1"/>
    <xf numFmtId="0" fontId="1" fillId="0" borderId="0" xfId="0" applyFont="1" applyAlignment="1">
      <alignment horizontal="center"/>
    </xf>
    <xf numFmtId="0" fontId="1" fillId="0" borderId="21" xfId="0" applyFont="1" applyBorder="1" applyAlignment="1">
      <alignment horizontal="center"/>
    </xf>
    <xf numFmtId="164" fontId="0" fillId="8" borderId="15" xfId="0" applyNumberFormat="1" applyFill="1" applyBorder="1"/>
    <xf numFmtId="164" fontId="0" fillId="8" borderId="16" xfId="0" applyNumberFormat="1" applyFill="1" applyBorder="1"/>
    <xf numFmtId="0" fontId="11" fillId="0" borderId="0" xfId="0" applyFont="1"/>
    <xf numFmtId="0" fontId="12" fillId="0" borderId="20" xfId="0" applyFont="1" applyBorder="1"/>
    <xf numFmtId="0" fontId="13" fillId="0" borderId="0" xfId="0" applyFont="1"/>
    <xf numFmtId="0" fontId="0" fillId="0" borderId="0" xfId="0" applyAlignment="1">
      <alignment horizontal="center"/>
    </xf>
    <xf numFmtId="0" fontId="5" fillId="0" borderId="0" xfId="0" applyFont="1"/>
    <xf numFmtId="0" fontId="0" fillId="0" borderId="22" xfId="0" applyBorder="1"/>
    <xf numFmtId="0" fontId="0" fillId="0" borderId="19" xfId="0" applyBorder="1"/>
    <xf numFmtId="164" fontId="0" fillId="0" borderId="21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3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13</xdr:row>
          <xdr:rowOff>139700</xdr:rowOff>
        </xdr:from>
        <xdr:to>
          <xdr:col>8</xdr:col>
          <xdr:colOff>336550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EQ-5D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0"/>
  <sheetViews>
    <sheetView tabSelected="1" topLeftCell="A12" zoomScaleNormal="100" workbookViewId="0">
      <selection activeCell="B10" sqref="B10"/>
    </sheetView>
  </sheetViews>
  <sheetFormatPr defaultRowHeight="14.5" x14ac:dyDescent="0.35"/>
  <cols>
    <col min="1" max="1" width="22.81640625" customWidth="1"/>
    <col min="2" max="2" width="11.453125" customWidth="1"/>
    <col min="4" max="4" width="12.90625" bestFit="1" customWidth="1"/>
    <col min="5" max="5" width="13.453125" customWidth="1"/>
    <col min="8" max="8" width="10" bestFit="1" customWidth="1"/>
    <col min="9" max="10" width="10" customWidth="1"/>
  </cols>
  <sheetData>
    <row r="1" spans="1:16" ht="26" x14ac:dyDescent="0.6">
      <c r="A1" s="13" t="s">
        <v>27</v>
      </c>
    </row>
    <row r="2" spans="1:16" ht="15" thickBot="1" x14ac:dyDescent="0.4"/>
    <row r="3" spans="1:16" ht="29.25" customHeight="1" thickTop="1" x14ac:dyDescent="0.35">
      <c r="A3" s="47" t="s">
        <v>28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</row>
    <row r="4" spans="1:16" x14ac:dyDescent="0.35">
      <c r="A4" s="2" t="s">
        <v>9</v>
      </c>
      <c r="P4" s="3"/>
    </row>
    <row r="5" spans="1:16" ht="15" thickBot="1" x14ac:dyDescent="0.4">
      <c r="A5" s="4" t="s">
        <v>13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6"/>
    </row>
    <row r="6" spans="1:16" ht="6" customHeight="1" thickTop="1" x14ac:dyDescent="0.3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2"/>
    </row>
    <row r="7" spans="1:16" ht="18.5" x14ac:dyDescent="0.45">
      <c r="A7" s="12" t="s">
        <v>7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3"/>
    </row>
    <row r="8" spans="1:16" ht="15" thickBot="1" x14ac:dyDescent="0.4">
      <c r="A8" s="19"/>
      <c r="B8" s="20" t="s">
        <v>0</v>
      </c>
      <c r="C8" s="19"/>
      <c r="D8" s="21"/>
      <c r="E8" s="20" t="s">
        <v>1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4"/>
    </row>
    <row r="9" spans="1:16" x14ac:dyDescent="0.35">
      <c r="A9" s="1" t="s">
        <v>16</v>
      </c>
      <c r="B9" s="8">
        <v>55</v>
      </c>
      <c r="D9" s="9" t="s">
        <v>22</v>
      </c>
      <c r="E9" s="10">
        <f>B9/10</f>
        <v>5.5</v>
      </c>
      <c r="P9" s="3"/>
    </row>
    <row r="10" spans="1:16" x14ac:dyDescent="0.35">
      <c r="A10" s="1" t="s">
        <v>17</v>
      </c>
      <c r="B10" s="8">
        <v>55</v>
      </c>
      <c r="D10" s="9" t="s">
        <v>23</v>
      </c>
      <c r="E10" s="10">
        <f t="shared" ref="E10:E14" si="0">B10/10</f>
        <v>5.5</v>
      </c>
      <c r="P10" s="3"/>
    </row>
    <row r="11" spans="1:16" x14ac:dyDescent="0.35">
      <c r="A11" s="1" t="s">
        <v>18</v>
      </c>
      <c r="B11" s="8">
        <v>55</v>
      </c>
      <c r="D11" s="9" t="s">
        <v>24</v>
      </c>
      <c r="E11" s="10">
        <f t="shared" si="0"/>
        <v>5.5</v>
      </c>
      <c r="P11" s="3"/>
    </row>
    <row r="12" spans="1:16" x14ac:dyDescent="0.35">
      <c r="A12" s="1" t="s">
        <v>19</v>
      </c>
      <c r="B12" s="8">
        <v>55</v>
      </c>
      <c r="D12" s="9" t="s">
        <v>25</v>
      </c>
      <c r="E12" s="10">
        <f t="shared" si="0"/>
        <v>5.5</v>
      </c>
      <c r="P12" s="3"/>
    </row>
    <row r="13" spans="1:16" x14ac:dyDescent="0.35">
      <c r="A13" s="1" t="s">
        <v>20</v>
      </c>
      <c r="B13" s="8">
        <v>55</v>
      </c>
      <c r="D13" s="9" t="s">
        <v>26</v>
      </c>
      <c r="E13" s="10">
        <f t="shared" si="0"/>
        <v>5.5</v>
      </c>
      <c r="P13" s="3"/>
    </row>
    <row r="14" spans="1:16" x14ac:dyDescent="0.35">
      <c r="A14" s="1" t="s">
        <v>2</v>
      </c>
      <c r="B14" s="8">
        <v>55</v>
      </c>
      <c r="D14" s="9" t="s">
        <v>12</v>
      </c>
      <c r="E14" s="10">
        <f t="shared" si="0"/>
        <v>5.5</v>
      </c>
      <c r="P14" s="3"/>
    </row>
    <row r="15" spans="1:16" x14ac:dyDescent="0.35">
      <c r="A15" s="1" t="s">
        <v>14</v>
      </c>
      <c r="B15" s="8">
        <v>55</v>
      </c>
      <c r="D15" s="9" t="s">
        <v>14</v>
      </c>
      <c r="E15" s="10">
        <f>B15</f>
        <v>55</v>
      </c>
      <c r="P15" s="3"/>
    </row>
    <row r="16" spans="1:16" x14ac:dyDescent="0.35">
      <c r="A16" s="1" t="s">
        <v>32</v>
      </c>
      <c r="B16" s="8">
        <v>364</v>
      </c>
      <c r="D16" s="9" t="s">
        <v>31</v>
      </c>
      <c r="E16" s="10">
        <f>B16/50</f>
        <v>7.28</v>
      </c>
      <c r="P16" s="3"/>
    </row>
    <row r="17" spans="1:16" x14ac:dyDescent="0.35">
      <c r="A17" s="1"/>
      <c r="D17" s="9"/>
      <c r="E17" s="40"/>
      <c r="P17" s="3"/>
    </row>
    <row r="18" spans="1:16" x14ac:dyDescent="0.35">
      <c r="A18" s="1"/>
      <c r="D18" s="9"/>
      <c r="E18" s="40"/>
      <c r="P18" s="3"/>
    </row>
    <row r="19" spans="1:16" ht="15" customHeight="1" thickBot="1" x14ac:dyDescent="0.4">
      <c r="P19" s="3"/>
    </row>
    <row r="20" spans="1:16" ht="9" customHeight="1" x14ac:dyDescent="0.3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25"/>
    </row>
    <row r="21" spans="1:16" ht="18.5" x14ac:dyDescent="0.45">
      <c r="A21" s="14" t="s">
        <v>8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26"/>
    </row>
    <row r="22" spans="1:16" ht="15" thickBot="1" x14ac:dyDescent="0.4">
      <c r="A22" s="17" t="s">
        <v>3</v>
      </c>
      <c r="B22" s="11" t="s">
        <v>4</v>
      </c>
      <c r="C22" s="17"/>
      <c r="D22" s="17"/>
      <c r="E22" s="11" t="s">
        <v>5</v>
      </c>
      <c r="F22" s="17"/>
      <c r="G22" s="17"/>
      <c r="H22" s="17" t="s">
        <v>6</v>
      </c>
      <c r="I22" s="18"/>
      <c r="J22" s="18"/>
      <c r="K22" s="18"/>
      <c r="L22" s="18"/>
      <c r="M22" s="18"/>
      <c r="N22" s="18"/>
      <c r="O22" s="18"/>
      <c r="P22" s="27"/>
    </row>
    <row r="23" spans="1:16" x14ac:dyDescent="0.35">
      <c r="A23">
        <v>1</v>
      </c>
      <c r="B23" s="34">
        <v>-0.57299976605583391</v>
      </c>
      <c r="E23" s="34">
        <v>4.2874697126433022E-4</v>
      </c>
      <c r="P23" s="3"/>
    </row>
    <row r="24" spans="1:16" ht="15" thickBot="1" x14ac:dyDescent="0.4">
      <c r="A24">
        <v>2</v>
      </c>
      <c r="B24" s="34">
        <v>0.76084080049375769</v>
      </c>
      <c r="E24" s="35">
        <v>0.81001608203941489</v>
      </c>
      <c r="H24" s="38">
        <f>Mixture2(pcs_10, mcs_10, burden_10, symptom_10,effects_10,ageby10,female,kdqoltotal50)</f>
        <v>0.59184011067436559</v>
      </c>
      <c r="P24" s="3"/>
    </row>
    <row r="25" spans="1:16" ht="16" thickBot="1" x14ac:dyDescent="0.4">
      <c r="A25">
        <v>3</v>
      </c>
      <c r="B25" s="34">
        <v>-0.12770689164925161</v>
      </c>
      <c r="E25" s="35">
        <v>0.18955517098932073</v>
      </c>
      <c r="H25" s="28">
        <v>0.59184011067436559</v>
      </c>
      <c r="P25" s="3"/>
    </row>
    <row r="26" spans="1:16" ht="15" thickTop="1" x14ac:dyDescent="0.3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</row>
    <row r="29" spans="1:16" x14ac:dyDescent="0.35">
      <c r="A29" s="50" t="s">
        <v>10</v>
      </c>
      <c r="B29" s="51"/>
      <c r="C29" s="51"/>
      <c r="D29" s="51"/>
      <c r="E29" s="51"/>
      <c r="F29" s="51"/>
      <c r="G29" s="51"/>
      <c r="H29" s="51"/>
      <c r="I29" s="51"/>
      <c r="J29" s="42"/>
    </row>
    <row r="30" spans="1:16" x14ac:dyDescent="0.35">
      <c r="A30" s="37" t="s">
        <v>33</v>
      </c>
      <c r="B30" s="36"/>
      <c r="C30" s="36"/>
      <c r="D30" s="36"/>
      <c r="E30" s="36"/>
      <c r="F30" s="36"/>
      <c r="G30" s="36"/>
      <c r="J30" s="31"/>
    </row>
    <row r="31" spans="1:16" x14ac:dyDescent="0.35">
      <c r="A31" s="30"/>
      <c r="J31" s="31"/>
      <c r="L31" s="39"/>
      <c r="M31" s="39"/>
      <c r="N31" s="39"/>
    </row>
    <row r="32" spans="1:16" x14ac:dyDescent="0.35">
      <c r="A32" s="30"/>
      <c r="J32" s="31"/>
      <c r="L32" s="39"/>
      <c r="M32" s="39"/>
      <c r="N32" s="39"/>
    </row>
    <row r="33" spans="1:14" x14ac:dyDescent="0.35">
      <c r="A33" s="32" t="s">
        <v>21</v>
      </c>
      <c r="B33" s="32" t="s">
        <v>29</v>
      </c>
      <c r="C33" s="32" t="s">
        <v>30</v>
      </c>
      <c r="D33" s="32" t="s">
        <v>19</v>
      </c>
      <c r="E33" s="32" t="s">
        <v>20</v>
      </c>
      <c r="F33" s="32" t="s">
        <v>2</v>
      </c>
      <c r="G33" s="32" t="s">
        <v>14</v>
      </c>
      <c r="H33" s="1" t="s">
        <v>32</v>
      </c>
      <c r="I33" s="32" t="s">
        <v>15</v>
      </c>
      <c r="J33" s="33" t="s">
        <v>11</v>
      </c>
      <c r="K33" s="32"/>
      <c r="L33" s="39"/>
      <c r="M33" s="39"/>
      <c r="N33" s="39"/>
    </row>
    <row r="34" spans="1:14" x14ac:dyDescent="0.35">
      <c r="A34" s="39">
        <v>10</v>
      </c>
      <c r="B34" s="39">
        <v>13</v>
      </c>
      <c r="C34" s="39">
        <v>13</v>
      </c>
      <c r="D34" s="39">
        <v>24</v>
      </c>
      <c r="E34" s="39">
        <v>17</v>
      </c>
      <c r="F34" s="39">
        <v>80</v>
      </c>
      <c r="G34" s="39">
        <v>1</v>
      </c>
      <c r="H34" s="39">
        <v>77</v>
      </c>
      <c r="I34" s="46">
        <v>-0.41763688999999998</v>
      </c>
      <c r="J34" s="43">
        <v>-0.41799999999999998</v>
      </c>
      <c r="L34" s="39"/>
      <c r="M34" s="39"/>
      <c r="N34" s="39"/>
    </row>
    <row r="35" spans="1:14" x14ac:dyDescent="0.35">
      <c r="A35" s="39">
        <v>38</v>
      </c>
      <c r="B35" s="39">
        <v>50</v>
      </c>
      <c r="C35" s="39">
        <v>26</v>
      </c>
      <c r="D35" s="39">
        <v>40</v>
      </c>
      <c r="E35" s="39">
        <v>30</v>
      </c>
      <c r="F35" s="39">
        <v>75</v>
      </c>
      <c r="G35" s="39">
        <v>0</v>
      </c>
      <c r="H35" s="39">
        <v>184</v>
      </c>
      <c r="I35" s="46">
        <v>0.63641842000000004</v>
      </c>
      <c r="J35" s="43">
        <v>0.63600000000000001</v>
      </c>
      <c r="L35" s="39"/>
      <c r="M35" s="39"/>
      <c r="N35" s="39"/>
    </row>
    <row r="36" spans="1:14" x14ac:dyDescent="0.35">
      <c r="A36" s="39">
        <v>46</v>
      </c>
      <c r="B36" s="39">
        <v>70</v>
      </c>
      <c r="C36" s="39">
        <v>59</v>
      </c>
      <c r="D36" s="39">
        <v>39</v>
      </c>
      <c r="E36" s="39">
        <v>50</v>
      </c>
      <c r="F36" s="39">
        <v>45</v>
      </c>
      <c r="G36" s="39">
        <v>1</v>
      </c>
      <c r="H36" s="39">
        <v>264</v>
      </c>
      <c r="I36" s="46">
        <v>0.92808440999999997</v>
      </c>
      <c r="J36" s="43">
        <v>0.92800000000000005</v>
      </c>
      <c r="L36" s="39"/>
      <c r="M36" s="39"/>
      <c r="N36" s="39"/>
    </row>
    <row r="37" spans="1:14" x14ac:dyDescent="0.35">
      <c r="A37" s="39">
        <v>64</v>
      </c>
      <c r="B37" s="39">
        <v>60</v>
      </c>
      <c r="C37" s="39">
        <v>86</v>
      </c>
      <c r="D37" s="39">
        <v>64</v>
      </c>
      <c r="E37" s="39">
        <v>90</v>
      </c>
      <c r="F37" s="39">
        <v>59</v>
      </c>
      <c r="G37" s="39">
        <v>0</v>
      </c>
      <c r="H37" s="39">
        <v>364</v>
      </c>
      <c r="I37" s="46">
        <v>0.98991706999999995</v>
      </c>
      <c r="J37" s="43">
        <v>0.99</v>
      </c>
      <c r="L37" s="39"/>
      <c r="M37" s="39"/>
      <c r="N37" s="39"/>
    </row>
    <row r="38" spans="1:14" x14ac:dyDescent="0.35">
      <c r="A38" s="41"/>
      <c r="B38" s="44"/>
      <c r="C38" s="44"/>
      <c r="D38" s="44"/>
      <c r="E38" s="44"/>
      <c r="F38" s="44"/>
      <c r="G38" s="44"/>
      <c r="H38" s="44"/>
      <c r="I38" s="44"/>
      <c r="J38" s="45"/>
      <c r="L38" s="39"/>
      <c r="M38" s="39"/>
      <c r="N38" s="39"/>
    </row>
    <row r="39" spans="1:14" x14ac:dyDescent="0.35">
      <c r="A39" s="36"/>
      <c r="N39" s="39"/>
    </row>
    <row r="40" spans="1:14" x14ac:dyDescent="0.35">
      <c r="N40" s="39"/>
    </row>
  </sheetData>
  <mergeCells count="2">
    <mergeCell ref="A3:P3"/>
    <mergeCell ref="A29:I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odule2.RunCalc">
                <anchor moveWithCells="1" sizeWithCells="1">
                  <from>
                    <xdr:col>6</xdr:col>
                    <xdr:colOff>533400</xdr:colOff>
                    <xdr:row>13</xdr:row>
                    <xdr:rowOff>139700</xdr:rowOff>
                  </from>
                  <to>
                    <xdr:col>8</xdr:col>
                    <xdr:colOff>336550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729C03-A3BF-46F6-A175-41AE0B5B8B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KDQoL</vt:lpstr>
      <vt:lpstr>ageby10</vt:lpstr>
      <vt:lpstr>burden_10</vt:lpstr>
      <vt:lpstr>E1v_2</vt:lpstr>
      <vt:lpstr>E2v_2</vt:lpstr>
      <vt:lpstr>E3v_2</vt:lpstr>
      <vt:lpstr>effects_10</vt:lpstr>
      <vt:lpstr>female</vt:lpstr>
      <vt:lpstr>kdqoltotal50</vt:lpstr>
      <vt:lpstr>mcs_10</vt:lpstr>
      <vt:lpstr>pcs_10</vt:lpstr>
      <vt:lpstr>ProbC1_2</vt:lpstr>
      <vt:lpstr>ProbC2_2</vt:lpstr>
      <vt:lpstr>ProbC3_2</vt:lpstr>
      <vt:lpstr>symptom_10</vt:lpstr>
      <vt:lpstr>util2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Allan Wailoo</dc:creator>
  <cp:lastModifiedBy>Worboys, Hannah M.</cp:lastModifiedBy>
  <dcterms:created xsi:type="dcterms:W3CDTF">2014-02-13T11:35:20Z</dcterms:created>
  <dcterms:modified xsi:type="dcterms:W3CDTF">2024-10-17T10:22:20Z</dcterms:modified>
</cp:coreProperties>
</file>